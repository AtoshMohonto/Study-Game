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tosh\OneDrive\Desktop\Study-Game\"/>
    </mc:Choice>
  </mc:AlternateContent>
  <xr:revisionPtr revIDLastSave="0" documentId="13_ncr:1_{C78E5639-7FBC-4A7D-B946-0863A8FBC5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Card" sheetId="3" r:id="rId1"/>
    <sheet name="DataBase" sheetId="1" r:id="rId2"/>
    <sheet name="Rat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3" l="1"/>
  <c r="C37" i="3"/>
  <c r="C36" i="3"/>
  <c r="C35" i="3"/>
  <c r="C34" i="3"/>
  <c r="G32" i="3"/>
  <c r="G24" i="3"/>
  <c r="I24" i="3" s="1"/>
  <c r="M24" i="3" s="1"/>
  <c r="G25" i="3"/>
  <c r="I25" i="3" s="1"/>
  <c r="M25" i="3" s="1"/>
  <c r="G26" i="3"/>
  <c r="K26" i="3" s="1"/>
  <c r="G27" i="3"/>
  <c r="K27" i="3" s="1"/>
  <c r="G28" i="3"/>
  <c r="I28" i="3" s="1"/>
  <c r="M28" i="3" s="1"/>
  <c r="G29" i="3"/>
  <c r="K29" i="3" s="1"/>
  <c r="G23" i="3"/>
  <c r="I23" i="3" s="1"/>
  <c r="M23" i="3" s="1"/>
  <c r="E30" i="3"/>
  <c r="M14" i="3"/>
  <c r="E15" i="3"/>
  <c r="K23" i="3" l="1"/>
  <c r="I26" i="3"/>
  <c r="M26" i="3" s="1"/>
  <c r="K28" i="3"/>
  <c r="K24" i="3"/>
  <c r="I27" i="3"/>
  <c r="M27" i="3" s="1"/>
  <c r="K25" i="3"/>
  <c r="I29" i="3"/>
  <c r="M29" i="3" s="1"/>
  <c r="G30" i="3"/>
  <c r="I30" i="3" s="1"/>
  <c r="K30" i="3" s="1"/>
  <c r="E16" i="3"/>
  <c r="E17" i="3"/>
  <c r="E18" i="3"/>
  <c r="M30" i="3" l="1"/>
</calcChain>
</file>

<file path=xl/sharedStrings.xml><?xml version="1.0" encoding="utf-8"?>
<sst xmlns="http://schemas.openxmlformats.org/spreadsheetml/2006/main" count="205" uniqueCount="144">
  <si>
    <t>BGS</t>
  </si>
  <si>
    <t>Imran Islam</t>
  </si>
  <si>
    <t>Sathi Sharma</t>
  </si>
  <si>
    <t>Vumi Roy</t>
  </si>
  <si>
    <t>Siyam Islam</t>
  </si>
  <si>
    <t>Manik Roy</t>
  </si>
  <si>
    <t>Star Rating</t>
  </si>
  <si>
    <t>Not Satisfactory</t>
  </si>
  <si>
    <t>Satisfactory</t>
  </si>
  <si>
    <t>Good</t>
  </si>
  <si>
    <t>Very Good</t>
  </si>
  <si>
    <t>Execllent</t>
  </si>
  <si>
    <t>Marks Range</t>
  </si>
  <si>
    <t>Grade</t>
  </si>
  <si>
    <t>90-100</t>
  </si>
  <si>
    <t>81-90</t>
  </si>
  <si>
    <t>71-80</t>
  </si>
  <si>
    <t>61-70</t>
  </si>
  <si>
    <t>51-60</t>
  </si>
  <si>
    <t>41-50</t>
  </si>
  <si>
    <t>33-40</t>
  </si>
  <si>
    <t>Below 33</t>
  </si>
  <si>
    <t>A+</t>
  </si>
  <si>
    <t>A</t>
  </si>
  <si>
    <t>A-</t>
  </si>
  <si>
    <t>B</t>
  </si>
  <si>
    <t>C</t>
  </si>
  <si>
    <t>D</t>
  </si>
  <si>
    <t>E</t>
  </si>
  <si>
    <t>F</t>
  </si>
  <si>
    <t>Minium Marks</t>
  </si>
  <si>
    <t>AGROJATRA SHISHU BIKASH SCHOOL</t>
  </si>
  <si>
    <t>(An Ideal School, Affiliated to NCTB,Dhaka)</t>
  </si>
  <si>
    <t>Dokkhin Kanial Khata ,Boiragi Para, Nilphamari Sadar, Nilphamari</t>
  </si>
  <si>
    <t>www.agrojatrashishubikashschool.com</t>
  </si>
  <si>
    <t>Affilation Number:7725</t>
  </si>
  <si>
    <t>School Number:25</t>
  </si>
  <si>
    <t>ACADEMIC SESSION:2024-2025</t>
  </si>
  <si>
    <t>Report Card</t>
  </si>
  <si>
    <t>Student's Profile</t>
  </si>
  <si>
    <t>ROLL NO.</t>
  </si>
  <si>
    <t>STUDENT NAME</t>
  </si>
  <si>
    <t>FATHER'S NAME</t>
  </si>
  <si>
    <t>MOTHER'S NAME</t>
  </si>
  <si>
    <t>ADDRESS</t>
  </si>
  <si>
    <t>CLASS</t>
  </si>
  <si>
    <t>ROLL</t>
  </si>
  <si>
    <t>CONTACT NO.</t>
  </si>
  <si>
    <t>ATTENDENCE</t>
  </si>
  <si>
    <t>BANGLA</t>
  </si>
  <si>
    <t>ENGLISH</t>
  </si>
  <si>
    <t>MATHS</t>
  </si>
  <si>
    <t>SCIENCE</t>
  </si>
  <si>
    <t>DHORMO</t>
  </si>
  <si>
    <t>GRAMMER</t>
  </si>
  <si>
    <t>RESULT SUMMARY</t>
  </si>
  <si>
    <t>SCHOLASTIC AREAS</t>
  </si>
  <si>
    <t>SUBJECT</t>
  </si>
  <si>
    <t>TOTAL</t>
  </si>
  <si>
    <t>TOTAL MARKS</t>
  </si>
  <si>
    <t>MARKS OBTAINED</t>
  </si>
  <si>
    <t>PERCENTAGE</t>
  </si>
  <si>
    <t>45-50</t>
  </si>
  <si>
    <t>41-45</t>
  </si>
  <si>
    <t>36-40</t>
  </si>
  <si>
    <t>31-35</t>
  </si>
  <si>
    <t>26-30</t>
  </si>
  <si>
    <t>21-25</t>
  </si>
  <si>
    <t>17-20</t>
  </si>
  <si>
    <t>Below 16</t>
  </si>
  <si>
    <t>PASS/FAIL</t>
  </si>
  <si>
    <t>STUDENT'S BEHAVIOUR</t>
  </si>
  <si>
    <t>REMARKS OF STARS</t>
  </si>
  <si>
    <t>Excellent</t>
  </si>
  <si>
    <t>Attendance</t>
  </si>
  <si>
    <t>PASS</t>
  </si>
  <si>
    <t>Result</t>
  </si>
  <si>
    <t>Overall Grade</t>
  </si>
  <si>
    <t>Khushimoni roy</t>
  </si>
  <si>
    <t>Atul Chandro Roy</t>
  </si>
  <si>
    <t>Sreemoty Ganga Rani</t>
  </si>
  <si>
    <t>01763299043</t>
  </si>
  <si>
    <t>Jaya Rani</t>
  </si>
  <si>
    <t>Sreemoty Trisna Rani</t>
  </si>
  <si>
    <t>Sree Narayan Roy</t>
  </si>
  <si>
    <t>01326026347</t>
  </si>
  <si>
    <t>Md Osman Goni</t>
  </si>
  <si>
    <t>Omar Faruk</t>
  </si>
  <si>
    <t>Roksana Begum</t>
  </si>
  <si>
    <t>Nuri Akter</t>
  </si>
  <si>
    <t xml:space="preserve">Nur Mohammad </t>
  </si>
  <si>
    <t>Mrs. Nasima Begum</t>
  </si>
  <si>
    <t>Kanial Khata Cinirkuti Bazar</t>
  </si>
  <si>
    <t>Kanial Khata Munsipara</t>
  </si>
  <si>
    <t>Kanial Khata Porapara</t>
  </si>
  <si>
    <t>01346468836</t>
  </si>
  <si>
    <t>Mst Umma Kulsum</t>
  </si>
  <si>
    <t>Nurnabi</t>
  </si>
  <si>
    <t>Mst. Mahmuda Khatun</t>
  </si>
  <si>
    <t>Kanialkhata</t>
  </si>
  <si>
    <t>01706807154</t>
  </si>
  <si>
    <t>Dayal Shel</t>
  </si>
  <si>
    <t>Maloti Rani</t>
  </si>
  <si>
    <t>Kanial Khata Boiragi Para</t>
  </si>
  <si>
    <t>01313934352</t>
  </si>
  <si>
    <t>Anamika Rani Roy</t>
  </si>
  <si>
    <t>Santos Kumar Ray</t>
  </si>
  <si>
    <t>Vagirathi Rany</t>
  </si>
  <si>
    <t>DOKKHIN KANIAL KHATA MASTAR PARA</t>
  </si>
  <si>
    <t>01326025653</t>
  </si>
  <si>
    <t>Sumaiya Islam</t>
  </si>
  <si>
    <t>Md Robiul Islam</t>
  </si>
  <si>
    <t>Mst Rashida Begum</t>
  </si>
  <si>
    <t>01768842049</t>
  </si>
  <si>
    <t>SHRABONTI ROY</t>
  </si>
  <si>
    <t>NARESH CHANDRA ROY</t>
  </si>
  <si>
    <t>JANATA RANI ROY</t>
  </si>
  <si>
    <t>KANIAL KHATA PONDIT PARA</t>
  </si>
  <si>
    <t>01753277584</t>
  </si>
  <si>
    <t>SISTY RANI ROY</t>
  </si>
  <si>
    <t>SAPON KUMAR ROY</t>
  </si>
  <si>
    <t>LAKKHI RANI</t>
  </si>
  <si>
    <t>01726759389</t>
  </si>
  <si>
    <t>Ferazul Islam</t>
  </si>
  <si>
    <t>Rina Parvin</t>
  </si>
  <si>
    <t>Kanial Khata</t>
  </si>
  <si>
    <t>01790524726</t>
  </si>
  <si>
    <t xml:space="preserve">Md Mijan </t>
  </si>
  <si>
    <t>Md Jakirul</t>
  </si>
  <si>
    <t>Khadija Begum</t>
  </si>
  <si>
    <t>Md Nazmul Huda</t>
  </si>
  <si>
    <t>Md. Habibur Rahman</t>
  </si>
  <si>
    <t>Narzina Begum</t>
  </si>
  <si>
    <t>Md Nayem Islam</t>
  </si>
  <si>
    <t xml:space="preserve">Md Fazle Rabbi </t>
  </si>
  <si>
    <t>Md Hamidul Haque</t>
  </si>
  <si>
    <t>Simu Khatun</t>
  </si>
  <si>
    <t>Chando Roy</t>
  </si>
  <si>
    <t>Dina Bondhu Roy</t>
  </si>
  <si>
    <t>Bobita Rani</t>
  </si>
  <si>
    <t>Kanial Khata(Roy Para)</t>
  </si>
  <si>
    <t>Sree Pram Kumer(Chadon)</t>
  </si>
  <si>
    <t>Varoti Rani</t>
  </si>
  <si>
    <t>Mst Farjana Akter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</si>
</sst>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\: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4"/>
      <color theme="5"/>
      <name val="Arial Black"/>
      <family val="2"/>
    </font>
    <font>
      <sz val="22"/>
      <color rgb="FF00B050"/>
      <name val="Arial Black"/>
      <family val="2"/>
    </font>
    <font>
      <b/>
      <sz val="18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5" fillId="2" borderId="0" xfId="0" applyFont="1" applyFill="1"/>
    <xf numFmtId="0" fontId="5" fillId="2" borderId="0" xfId="0" applyFont="1" applyFill="1" applyBorder="1"/>
    <xf numFmtId="0" fontId="5" fillId="2" borderId="7" xfId="0" applyFont="1" applyFill="1" applyBorder="1"/>
    <xf numFmtId="0" fontId="0" fillId="0" borderId="0" xfId="0" applyBorder="1"/>
    <xf numFmtId="0" fontId="13" fillId="6" borderId="12" xfId="0" applyFont="1" applyFill="1" applyBorder="1" applyAlignment="1"/>
    <xf numFmtId="9" fontId="0" fillId="0" borderId="0" xfId="0" applyNumberFormat="1"/>
    <xf numFmtId="0" fontId="0" fillId="0" borderId="12" xfId="0" applyBorder="1"/>
    <xf numFmtId="49" fontId="0" fillId="0" borderId="1" xfId="0" applyNumberFormat="1" applyBorder="1"/>
    <xf numFmtId="0" fontId="14" fillId="0" borderId="0" xfId="0" applyFont="1" applyBorder="1"/>
    <xf numFmtId="49" fontId="0" fillId="0" borderId="0" xfId="0" applyNumberFormat="1" applyBorder="1"/>
    <xf numFmtId="49" fontId="0" fillId="3" borderId="0" xfId="0" applyNumberFormat="1" applyFill="1"/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1" fillId="0" borderId="10" xfId="2" applyFont="1" applyBorder="1" applyAlignment="1">
      <alignment horizontal="center"/>
    </xf>
    <xf numFmtId="9" fontId="1" fillId="0" borderId="12" xfId="2" applyFont="1" applyBorder="1" applyAlignment="1">
      <alignment horizontal="center"/>
    </xf>
    <xf numFmtId="0" fontId="1" fillId="0" borderId="10" xfId="0" applyFont="1" applyBorder="1" applyAlignment="1"/>
    <xf numFmtId="0" fontId="1" fillId="0" borderId="12" xfId="0" applyFont="1" applyBorder="1" applyAlignment="1"/>
    <xf numFmtId="0" fontId="8" fillId="0" borderId="0" xfId="0" applyFont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164" fontId="7" fillId="0" borderId="0" xfId="0" applyNumberFormat="1" applyFont="1" applyFill="1" applyBorder="1"/>
    <xf numFmtId="0" fontId="1" fillId="0" borderId="0" xfId="0" applyFont="1" applyBorder="1" applyAlignment="1">
      <alignment horizontal="left"/>
    </xf>
    <xf numFmtId="0" fontId="0" fillId="0" borderId="0" xfId="0" applyBorder="1"/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17" fillId="0" borderId="0" xfId="0" applyFont="1" applyBorder="1" applyAlignment="1">
      <alignment horizontal="center"/>
    </xf>
    <xf numFmtId="164" fontId="7" fillId="0" borderId="0" xfId="0" applyNumberFormat="1" applyFont="1" applyBorder="1"/>
    <xf numFmtId="0" fontId="0" fillId="0" borderId="0" xfId="0" applyBorder="1" applyAlignment="1">
      <alignment horizontal="left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9" fontId="1" fillId="0" borderId="11" xfId="2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581026</xdr:colOff>
      <xdr:row>0</xdr:row>
      <xdr:rowOff>161925</xdr:rowOff>
    </xdr:from>
    <xdr:to>
      <xdr:col>16</xdr:col>
      <xdr:colOff>0</xdr:colOff>
      <xdr:row>52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1A2C04-1252-27FB-510B-805416FF7208}"/>
            </a:ext>
          </a:extLst>
        </xdr:cNvPr>
        <xdr:cNvSpPr/>
      </xdr:nvSpPr>
      <xdr:spPr>
        <a:xfrm>
          <a:off x="581026" y="161925"/>
          <a:ext cx="8772524" cy="9782175"/>
        </a:xfrm>
        <a:prstGeom prst="rect">
          <a:avLst/>
        </a:prstGeom>
        <a:noFill/>
        <a:ln w="5715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133350</xdr:colOff>
      <xdr:row>2</xdr:row>
      <xdr:rowOff>9525</xdr:rowOff>
    </xdr:from>
    <xdr:to>
      <xdr:col>3</xdr:col>
      <xdr:colOff>304800</xdr:colOff>
      <xdr:row>5</xdr:row>
      <xdr:rowOff>106716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25357C-6FE7-A7E9-E83A-B8B0205F5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90525"/>
          <a:ext cx="923925" cy="906816"/>
        </a:xfrm>
        <a:prstGeom prst="rect">
          <a:avLst/>
        </a:prstGeom>
      </xdr:spPr>
    </xdr:pic>
    <xdr:clientData/>
  </xdr:twoCellAnchor>
  <xdr:twoCellAnchor editAs="oneCell">
    <xdr:from>
      <xdr:col>13</xdr:col>
      <xdr:colOff>323849</xdr:colOff>
      <xdr:row>2</xdr:row>
      <xdr:rowOff>47625</xdr:rowOff>
    </xdr:from>
    <xdr:to>
      <xdr:col>15</xdr:col>
      <xdr:colOff>26288</xdr:colOff>
      <xdr:row>5</xdr:row>
      <xdr:rowOff>124781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497364-324C-E903-9125-6E49AA625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4" y="428625"/>
          <a:ext cx="921639" cy="88678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45</xdr:row>
      <xdr:rowOff>95250</xdr:rowOff>
    </xdr:from>
    <xdr:to>
      <xdr:col>15</xdr:col>
      <xdr:colOff>38100</xdr:colOff>
      <xdr:row>50</xdr:row>
      <xdr:rowOff>156891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C7779C-699A-9F16-8B8B-C66563978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53575"/>
          <a:ext cx="7772400" cy="1014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grojatrashishubikashschoo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2A12-82DF-4235-887F-EDAFE42B2966}">
  <sheetPr>
    <pageSetUpPr fitToPage="1"/>
  </sheetPr>
  <dimension ref="B2:P52"/>
  <sheetViews>
    <sheetView tabSelected="1" zoomScaleNormal="100" workbookViewId="0">
      <selection activeCell="E14" sqref="E14:G14"/>
    </sheetView>
  </sheetViews>
  <sheetFormatPr defaultRowHeight="15" x14ac:dyDescent="0.25"/>
  <cols>
    <col min="1" max="1" width="5" customWidth="1"/>
    <col min="2" max="2" width="2.140625" customWidth="1"/>
    <col min="12" max="12" width="6.42578125" customWidth="1"/>
    <col min="15" max="15" width="9.140625" customWidth="1"/>
    <col min="16" max="16" width="2.140625" customWidth="1"/>
    <col min="17" max="17" width="0.140625" customWidth="1"/>
  </cols>
  <sheetData>
    <row r="2" spans="2:16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2:16" ht="33.75" x14ac:dyDescent="0.25">
      <c r="B3" s="9"/>
      <c r="C3" s="44" t="s">
        <v>31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10"/>
    </row>
    <row r="4" spans="2:16" x14ac:dyDescent="0.25">
      <c r="B4" s="9"/>
      <c r="C4" s="1"/>
      <c r="D4" s="46" t="s">
        <v>32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1"/>
      <c r="P4" s="10"/>
    </row>
    <row r="5" spans="2:16" x14ac:dyDescent="0.25">
      <c r="B5" s="9"/>
      <c r="C5" s="1"/>
      <c r="D5" s="1"/>
      <c r="E5" s="48" t="s">
        <v>33</v>
      </c>
      <c r="F5" s="47"/>
      <c r="G5" s="47"/>
      <c r="H5" s="47"/>
      <c r="I5" s="47"/>
      <c r="J5" s="47"/>
      <c r="K5" s="47"/>
      <c r="L5" s="47"/>
      <c r="M5" s="47"/>
      <c r="N5" s="1"/>
      <c r="O5" s="1"/>
      <c r="P5" s="10"/>
    </row>
    <row r="6" spans="2:16" x14ac:dyDescent="0.25">
      <c r="B6" s="9"/>
      <c r="C6" s="2"/>
      <c r="D6" s="49" t="s">
        <v>34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2"/>
      <c r="P6" s="10"/>
    </row>
    <row r="7" spans="2:16" x14ac:dyDescent="0.25">
      <c r="B7" s="9"/>
      <c r="P7" s="10"/>
    </row>
    <row r="8" spans="2:16" x14ac:dyDescent="0.25">
      <c r="B8" s="9"/>
      <c r="C8" s="62" t="s">
        <v>35</v>
      </c>
      <c r="D8" s="62"/>
      <c r="E8" s="62"/>
      <c r="F8" s="1"/>
      <c r="G8" s="1"/>
      <c r="H8" s="1"/>
      <c r="I8" s="1"/>
      <c r="J8" s="1"/>
      <c r="K8" s="1"/>
      <c r="L8" s="1"/>
      <c r="M8" s="61" t="s">
        <v>36</v>
      </c>
      <c r="N8" s="61"/>
      <c r="O8" s="61"/>
      <c r="P8" s="10"/>
    </row>
    <row r="9" spans="2:16" ht="2.25" customHeight="1" x14ac:dyDescent="0.25"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</row>
    <row r="10" spans="2:16" ht="15.75" x14ac:dyDescent="0.25">
      <c r="B10" s="9"/>
      <c r="C10" s="50" t="s">
        <v>37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10"/>
    </row>
    <row r="11" spans="2:16" ht="15.75" x14ac:dyDescent="0.25">
      <c r="B11" s="9"/>
      <c r="C11" s="50" t="s">
        <v>38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10"/>
    </row>
    <row r="12" spans="2:16" ht="15.75" x14ac:dyDescent="0.25">
      <c r="B12" s="9"/>
      <c r="C12" s="63" t="s">
        <v>39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10"/>
    </row>
    <row r="13" spans="2:16" ht="9" customHeight="1" x14ac:dyDescent="0.25">
      <c r="B13" s="9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10"/>
    </row>
    <row r="14" spans="2:16" x14ac:dyDescent="0.25">
      <c r="B14" s="9"/>
      <c r="C14" s="64" t="s">
        <v>40</v>
      </c>
      <c r="D14" s="64"/>
      <c r="E14" s="42">
        <v>11</v>
      </c>
      <c r="F14" s="42"/>
      <c r="G14" s="42"/>
      <c r="H14" s="1"/>
      <c r="I14" s="1"/>
      <c r="J14" s="1"/>
      <c r="K14" s="64" t="s">
        <v>45</v>
      </c>
      <c r="L14" s="64"/>
      <c r="M14" s="65">
        <f>VLOOKUP($E$14,DataBase!$A$2:$O$21,MATCH(ReportCard!K14,DataBase!$A$1:$O$1,0),0)</f>
        <v>5</v>
      </c>
      <c r="N14" s="65"/>
      <c r="O14" s="65"/>
      <c r="P14" s="10"/>
    </row>
    <row r="15" spans="2:16" x14ac:dyDescent="0.25">
      <c r="B15" s="9"/>
      <c r="C15" s="64" t="s">
        <v>41</v>
      </c>
      <c r="D15" s="64"/>
      <c r="E15" s="43" t="str">
        <f>VLOOKUP($E$14,DataBase!$A$2:$O$21,MATCH(ReportCard!C15,DataBase!$A$1:$O$1,0),0)</f>
        <v xml:space="preserve">Md Fazle Rabbi </v>
      </c>
      <c r="F15" s="43"/>
      <c r="G15" s="43"/>
      <c r="H15" s="1"/>
      <c r="I15" s="1"/>
      <c r="J15" s="1"/>
      <c r="K15" s="64" t="s">
        <v>47</v>
      </c>
      <c r="L15" s="64"/>
      <c r="M15" s="43"/>
      <c r="N15" s="43"/>
      <c r="O15" s="43"/>
      <c r="P15" s="10"/>
    </row>
    <row r="16" spans="2:16" x14ac:dyDescent="0.25">
      <c r="B16" s="9"/>
      <c r="C16" s="64" t="s">
        <v>42</v>
      </c>
      <c r="D16" s="64"/>
      <c r="E16" s="43" t="str">
        <f>VLOOKUP($E$14,DataBase!$A$2:$O$21,MATCH(ReportCard!C16,DataBase!$A$1:$O$1,0),0)</f>
        <v>Md Hamidul Haque</v>
      </c>
      <c r="F16" s="43"/>
      <c r="G16" s="43"/>
      <c r="H16" s="1"/>
      <c r="I16" s="1"/>
      <c r="J16" s="1"/>
      <c r="K16" s="1"/>
      <c r="L16" s="1"/>
      <c r="M16" s="1"/>
      <c r="N16" s="1"/>
      <c r="O16" s="1"/>
      <c r="P16" s="10"/>
    </row>
    <row r="17" spans="2:16" x14ac:dyDescent="0.25">
      <c r="B17" s="9"/>
      <c r="C17" s="41" t="s">
        <v>43</v>
      </c>
      <c r="D17" s="41"/>
      <c r="E17" s="43" t="str">
        <f>VLOOKUP($E$14,DataBase!$A$2:$O$21,MATCH(ReportCard!C17,DataBase!$A$1:$O$1,0),0)</f>
        <v>Simu Khatun</v>
      </c>
      <c r="F17" s="43"/>
      <c r="G17" s="43"/>
      <c r="H17" s="1"/>
      <c r="I17" s="1"/>
      <c r="J17" s="1"/>
      <c r="K17" s="1"/>
      <c r="L17" s="1"/>
      <c r="M17" s="1"/>
      <c r="N17" s="1"/>
      <c r="O17" s="1"/>
      <c r="P17" s="10"/>
    </row>
    <row r="18" spans="2:16" x14ac:dyDescent="0.25">
      <c r="B18" s="9"/>
      <c r="C18" s="41" t="s">
        <v>44</v>
      </c>
      <c r="D18" s="41"/>
      <c r="E18" s="43" t="str">
        <f>VLOOKUP($E$14,DataBase!$A$2:$O$21,MATCH(ReportCard!C18,DataBase!$A$1:$O$1,0),0)</f>
        <v>Kanial Khata Cinirkuti Bazar</v>
      </c>
      <c r="F18" s="43"/>
      <c r="G18" s="43"/>
      <c r="H18" s="1"/>
      <c r="I18" s="1"/>
      <c r="J18" s="1"/>
      <c r="K18" s="1"/>
      <c r="L18" s="1"/>
      <c r="M18" s="1"/>
      <c r="N18" s="1"/>
      <c r="O18" s="1"/>
      <c r="P18" s="10"/>
    </row>
    <row r="19" spans="2:16" x14ac:dyDescent="0.25">
      <c r="B19" s="9"/>
      <c r="C19" s="2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0"/>
    </row>
    <row r="20" spans="2:16" ht="23.25" thickBot="1" x14ac:dyDescent="0.5">
      <c r="B20" s="9"/>
      <c r="C20" s="35" t="s">
        <v>55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10"/>
    </row>
    <row r="21" spans="2:16" ht="15.75" thickBot="1" x14ac:dyDescent="0.3">
      <c r="B21" s="9"/>
      <c r="C21" s="36" t="s">
        <v>56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/>
      <c r="P21" s="10"/>
    </row>
    <row r="22" spans="2:16" ht="15.75" thickBot="1" x14ac:dyDescent="0.3">
      <c r="B22" s="9"/>
      <c r="C22" s="39" t="s">
        <v>57</v>
      </c>
      <c r="D22" s="40"/>
      <c r="E22" s="27" t="s">
        <v>59</v>
      </c>
      <c r="F22" s="29"/>
      <c r="G22" s="27" t="s">
        <v>60</v>
      </c>
      <c r="H22" s="29"/>
      <c r="I22" s="27" t="s">
        <v>61</v>
      </c>
      <c r="J22" s="29"/>
      <c r="K22" s="27" t="s">
        <v>60</v>
      </c>
      <c r="L22" s="29"/>
      <c r="M22" s="27" t="s">
        <v>70</v>
      </c>
      <c r="N22" s="28"/>
      <c r="O22" s="29"/>
      <c r="P22" s="10"/>
    </row>
    <row r="23" spans="2:16" ht="15.75" thickBot="1" x14ac:dyDescent="0.3">
      <c r="B23" s="9"/>
      <c r="C23" s="33" t="s">
        <v>49</v>
      </c>
      <c r="D23" s="34"/>
      <c r="E23" s="25">
        <v>100</v>
      </c>
      <c r="F23" s="26"/>
      <c r="G23" s="25">
        <f>VLOOKUP($E$14,DataBase!$A$2:$O$21,MATCH(C23,DataBase!$A$1:$O$1,0),0)</f>
        <v>80</v>
      </c>
      <c r="H23" s="26"/>
      <c r="I23" s="31">
        <f>G23/E23</f>
        <v>0.8</v>
      </c>
      <c r="J23" s="32"/>
      <c r="K23" s="25" t="str">
        <f>LOOKUP(G23,Rating!$E$11:$E$18,Rating!$F$11:$F$18)</f>
        <v>A-</v>
      </c>
      <c r="L23" s="26"/>
      <c r="M23" s="25" t="str">
        <f>IF(I23&lt;0.33,"FAIL","PASS")</f>
        <v>PASS</v>
      </c>
      <c r="N23" s="30"/>
      <c r="O23" s="26"/>
      <c r="P23" s="10"/>
    </row>
    <row r="24" spans="2:16" ht="15.75" thickBot="1" x14ac:dyDescent="0.3">
      <c r="B24" s="9"/>
      <c r="C24" s="33" t="s">
        <v>50</v>
      </c>
      <c r="D24" s="34"/>
      <c r="E24" s="25">
        <v>100</v>
      </c>
      <c r="F24" s="26"/>
      <c r="G24" s="25">
        <f>VLOOKUP($E$14,DataBase!$A$2:$O$21,MATCH(C24,DataBase!$A$1:$O$1,0),0)</f>
        <v>85</v>
      </c>
      <c r="H24" s="26"/>
      <c r="I24" s="31">
        <f t="shared" ref="I24:I29" si="0">G24/E24</f>
        <v>0.85</v>
      </c>
      <c r="J24" s="32"/>
      <c r="K24" s="25" t="str">
        <f>LOOKUP(G24,Rating!$E$11:$E$18,Rating!$F$11:$F$18)</f>
        <v>A</v>
      </c>
      <c r="L24" s="26"/>
      <c r="M24" s="25" t="str">
        <f t="shared" ref="M24:M29" si="1">IF(I24&lt;0.33,"FAIL","PASS")</f>
        <v>PASS</v>
      </c>
      <c r="N24" s="30"/>
      <c r="O24" s="26"/>
      <c r="P24" s="10"/>
    </row>
    <row r="25" spans="2:16" ht="15.75" thickBot="1" x14ac:dyDescent="0.3">
      <c r="B25" s="9"/>
      <c r="C25" s="33" t="s">
        <v>51</v>
      </c>
      <c r="D25" s="34"/>
      <c r="E25" s="25">
        <v>100</v>
      </c>
      <c r="F25" s="26"/>
      <c r="G25" s="25">
        <f>VLOOKUP($E$14,DataBase!$A$2:$O$21,MATCH(C25,DataBase!$A$1:$O$1,0),0)</f>
        <v>80</v>
      </c>
      <c r="H25" s="26"/>
      <c r="I25" s="31">
        <f t="shared" si="0"/>
        <v>0.8</v>
      </c>
      <c r="J25" s="32"/>
      <c r="K25" s="25" t="str">
        <f>LOOKUP(G25,Rating!$E$11:$E$18,Rating!$F$11:$F$18)</f>
        <v>A-</v>
      </c>
      <c r="L25" s="26"/>
      <c r="M25" s="25" t="str">
        <f t="shared" si="1"/>
        <v>PASS</v>
      </c>
      <c r="N25" s="30"/>
      <c r="O25" s="26"/>
      <c r="P25" s="10"/>
    </row>
    <row r="26" spans="2:16" ht="15.75" thickBot="1" x14ac:dyDescent="0.3">
      <c r="B26" s="9"/>
      <c r="C26" s="33" t="s">
        <v>52</v>
      </c>
      <c r="D26" s="34"/>
      <c r="E26" s="25">
        <v>100</v>
      </c>
      <c r="F26" s="26"/>
      <c r="G26" s="25">
        <f>VLOOKUP($E$14,DataBase!$A$2:$O$21,MATCH(C26,DataBase!$A$1:$O$1,0),0)</f>
        <v>84</v>
      </c>
      <c r="H26" s="26"/>
      <c r="I26" s="31">
        <f t="shared" si="0"/>
        <v>0.84</v>
      </c>
      <c r="J26" s="32"/>
      <c r="K26" s="25" t="str">
        <f>LOOKUP(G26,Rating!$E$11:$E$18,Rating!$F$11:$F$18)</f>
        <v>A</v>
      </c>
      <c r="L26" s="26"/>
      <c r="M26" s="25" t="str">
        <f>IF(I26&lt;0.33,"FAIL","PASS")</f>
        <v>PASS</v>
      </c>
      <c r="N26" s="30"/>
      <c r="O26" s="26"/>
      <c r="P26" s="10"/>
    </row>
    <row r="27" spans="2:16" ht="15.75" thickBot="1" x14ac:dyDescent="0.3">
      <c r="B27" s="9"/>
      <c r="C27" s="33" t="s">
        <v>0</v>
      </c>
      <c r="D27" s="34"/>
      <c r="E27" s="25">
        <v>100</v>
      </c>
      <c r="F27" s="26"/>
      <c r="G27" s="25">
        <f>VLOOKUP($E$14,DataBase!$A$2:$O$21,MATCH(C27,DataBase!$A$1:$O$1,0),0)</f>
        <v>80</v>
      </c>
      <c r="H27" s="26"/>
      <c r="I27" s="31">
        <f t="shared" si="0"/>
        <v>0.8</v>
      </c>
      <c r="J27" s="32"/>
      <c r="K27" s="25" t="str">
        <f>LOOKUP(G27,Rating!$E$11:$E$18,Rating!$F$11:$F$18)</f>
        <v>A-</v>
      </c>
      <c r="L27" s="26"/>
      <c r="M27" s="25" t="str">
        <f t="shared" si="1"/>
        <v>PASS</v>
      </c>
      <c r="N27" s="30"/>
      <c r="O27" s="26"/>
      <c r="P27" s="10"/>
    </row>
    <row r="28" spans="2:16" ht="15.75" thickBot="1" x14ac:dyDescent="0.3">
      <c r="B28" s="9"/>
      <c r="C28" s="33" t="s">
        <v>53</v>
      </c>
      <c r="D28" s="34"/>
      <c r="E28" s="25">
        <v>100</v>
      </c>
      <c r="F28" s="26"/>
      <c r="G28" s="25">
        <f>VLOOKUP($E$14,DataBase!$A$2:$O$21,MATCH(C28,DataBase!$A$1:$O$1,0),0)</f>
        <v>82</v>
      </c>
      <c r="H28" s="26"/>
      <c r="I28" s="31">
        <f t="shared" si="0"/>
        <v>0.82</v>
      </c>
      <c r="J28" s="32"/>
      <c r="K28" s="25" t="str">
        <f>LOOKUP(G28,Rating!$E$11:$E$18,Rating!$F$11:$F$18)</f>
        <v>A</v>
      </c>
      <c r="L28" s="26"/>
      <c r="M28" s="25" t="str">
        <f t="shared" si="1"/>
        <v>PASS</v>
      </c>
      <c r="N28" s="30"/>
      <c r="O28" s="26"/>
      <c r="P28" s="10"/>
    </row>
    <row r="29" spans="2:16" ht="15.75" thickBot="1" x14ac:dyDescent="0.3">
      <c r="B29" s="9"/>
      <c r="C29" s="33" t="s">
        <v>54</v>
      </c>
      <c r="D29" s="34"/>
      <c r="E29" s="25">
        <v>50</v>
      </c>
      <c r="F29" s="26"/>
      <c r="G29" s="25">
        <f>VLOOKUP($E$14,DataBase!$A$2:$O$21,MATCH(C29,DataBase!$A$1:$O$1,0),0)</f>
        <v>45</v>
      </c>
      <c r="H29" s="26"/>
      <c r="I29" s="31">
        <f t="shared" si="0"/>
        <v>0.9</v>
      </c>
      <c r="J29" s="32"/>
      <c r="K29" s="25" t="str">
        <f>LOOKUP(G29,Rating!$K$11:$K$18,Rating!$L$11:$L$18)</f>
        <v>A+</v>
      </c>
      <c r="L29" s="26"/>
      <c r="M29" s="25" t="str">
        <f t="shared" si="1"/>
        <v>PASS</v>
      </c>
      <c r="N29" s="30"/>
      <c r="O29" s="26"/>
      <c r="P29" s="10"/>
    </row>
    <row r="30" spans="2:16" ht="15.75" thickBot="1" x14ac:dyDescent="0.3">
      <c r="B30" s="9"/>
      <c r="C30" s="33" t="s">
        <v>58</v>
      </c>
      <c r="D30" s="34"/>
      <c r="E30" s="25">
        <f>SUM(E23:F29)</f>
        <v>650</v>
      </c>
      <c r="F30" s="26"/>
      <c r="G30" s="25">
        <f>SUM(G23:H29)</f>
        <v>536</v>
      </c>
      <c r="H30" s="26"/>
      <c r="I30" s="31">
        <f>G30/E30</f>
        <v>0.82461538461538464</v>
      </c>
      <c r="J30" s="32"/>
      <c r="K30" s="25" t="str">
        <f>LOOKUP(I30*100,Rating!$E$11:$E$18,Rating!$F$11:$F$18)</f>
        <v>A</v>
      </c>
      <c r="L30" s="26"/>
      <c r="M30" s="25" t="str">
        <f t="shared" ref="M30" si="2">IF(I30&lt;0.33,"FAIL","PASS")</f>
        <v>PASS</v>
      </c>
      <c r="N30" s="30"/>
      <c r="O30" s="26"/>
      <c r="P30" s="10"/>
    </row>
    <row r="31" spans="2:16" ht="15.75" thickBot="1" x14ac:dyDescent="0.3"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0"/>
    </row>
    <row r="32" spans="2:16" ht="24" thickBot="1" x14ac:dyDescent="0.4">
      <c r="B32" s="9"/>
      <c r="C32" s="54" t="s">
        <v>71</v>
      </c>
      <c r="D32" s="55"/>
      <c r="E32" s="55"/>
      <c r="F32" s="18">
        <v>5</v>
      </c>
      <c r="G32" s="52" t="str">
        <f>REPT("⭐",F32)</f>
        <v>⭐⭐⭐⭐⭐</v>
      </c>
      <c r="H32" s="52"/>
      <c r="I32" s="52"/>
      <c r="J32" s="52"/>
      <c r="K32" s="52"/>
      <c r="L32" s="52"/>
      <c r="M32" s="52"/>
      <c r="N32" s="52"/>
      <c r="O32" s="53"/>
      <c r="P32" s="10"/>
    </row>
    <row r="33" spans="2:16" ht="15.75" thickBot="1" x14ac:dyDescent="0.3">
      <c r="B33" s="9"/>
      <c r="C33" s="39" t="s">
        <v>72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7"/>
      <c r="P33" s="10"/>
    </row>
    <row r="34" spans="2:16" ht="21.75" thickBot="1" x14ac:dyDescent="0.4">
      <c r="B34" s="9"/>
      <c r="C34" s="58" t="str">
        <f>REPT("⭐",1)</f>
        <v>⭐</v>
      </c>
      <c r="D34" s="59"/>
      <c r="E34" s="59"/>
      <c r="F34" s="59"/>
      <c r="G34" s="59"/>
      <c r="H34" s="59"/>
      <c r="I34" s="60"/>
      <c r="J34" s="66" t="s">
        <v>7</v>
      </c>
      <c r="K34" s="67"/>
      <c r="L34" s="67"/>
      <c r="M34" s="67"/>
      <c r="N34" s="67"/>
      <c r="O34" s="68"/>
      <c r="P34" s="10"/>
    </row>
    <row r="35" spans="2:16" ht="21.75" thickBot="1" x14ac:dyDescent="0.4">
      <c r="B35" s="9"/>
      <c r="C35" s="58" t="str">
        <f>REPT("⭐",2)</f>
        <v>⭐⭐</v>
      </c>
      <c r="D35" s="59"/>
      <c r="E35" s="59"/>
      <c r="F35" s="59"/>
      <c r="G35" s="59"/>
      <c r="H35" s="59"/>
      <c r="I35" s="60"/>
      <c r="J35" s="66" t="s">
        <v>8</v>
      </c>
      <c r="K35" s="67"/>
      <c r="L35" s="67"/>
      <c r="M35" s="67"/>
      <c r="N35" s="67"/>
      <c r="O35" s="68"/>
      <c r="P35" s="10"/>
    </row>
    <row r="36" spans="2:16" ht="21.75" thickBot="1" x14ac:dyDescent="0.4">
      <c r="B36" s="9"/>
      <c r="C36" s="58" t="str">
        <f>REPT("⭐",3)</f>
        <v>⭐⭐⭐</v>
      </c>
      <c r="D36" s="59"/>
      <c r="E36" s="59"/>
      <c r="F36" s="59"/>
      <c r="G36" s="59"/>
      <c r="H36" s="59"/>
      <c r="I36" s="60"/>
      <c r="J36" s="66" t="s">
        <v>9</v>
      </c>
      <c r="K36" s="67"/>
      <c r="L36" s="67"/>
      <c r="M36" s="67"/>
      <c r="N36" s="67"/>
      <c r="O36" s="68"/>
      <c r="P36" s="10"/>
    </row>
    <row r="37" spans="2:16" ht="21.75" thickBot="1" x14ac:dyDescent="0.4">
      <c r="B37" s="9"/>
      <c r="C37" s="58" t="str">
        <f>REPT("⭐",4)</f>
        <v>⭐⭐⭐⭐</v>
      </c>
      <c r="D37" s="59"/>
      <c r="E37" s="59"/>
      <c r="F37" s="59"/>
      <c r="G37" s="59"/>
      <c r="H37" s="59"/>
      <c r="I37" s="60"/>
      <c r="J37" s="66" t="s">
        <v>10</v>
      </c>
      <c r="K37" s="67"/>
      <c r="L37" s="67"/>
      <c r="M37" s="67"/>
      <c r="N37" s="67"/>
      <c r="O37" s="68"/>
      <c r="P37" s="10"/>
    </row>
    <row r="38" spans="2:16" ht="21.75" thickBot="1" x14ac:dyDescent="0.4">
      <c r="B38" s="9"/>
      <c r="C38" s="58" t="str">
        <f>REPT("⭐",5)</f>
        <v>⭐⭐⭐⭐⭐</v>
      </c>
      <c r="D38" s="59"/>
      <c r="E38" s="59"/>
      <c r="F38" s="59"/>
      <c r="G38" s="59"/>
      <c r="H38" s="59"/>
      <c r="I38" s="60"/>
      <c r="J38" s="66" t="s">
        <v>73</v>
      </c>
      <c r="K38" s="67"/>
      <c r="L38" s="67"/>
      <c r="M38" s="67"/>
      <c r="N38" s="67"/>
      <c r="O38" s="68"/>
      <c r="P38" s="10"/>
    </row>
    <row r="39" spans="2:16" ht="15.75" thickBot="1" x14ac:dyDescent="0.3">
      <c r="B39" s="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0"/>
    </row>
    <row r="40" spans="2:16" ht="16.5" thickBot="1" x14ac:dyDescent="0.3">
      <c r="B40" s="9"/>
      <c r="C40" s="71" t="s">
        <v>74</v>
      </c>
      <c r="D40" s="72"/>
      <c r="E40" s="72"/>
      <c r="F40" s="72"/>
      <c r="G40" s="72"/>
      <c r="H40" s="31">
        <v>0.9</v>
      </c>
      <c r="I40" s="73"/>
      <c r="J40" s="32"/>
      <c r="K40" s="1"/>
      <c r="L40" s="1"/>
      <c r="M40" s="1"/>
      <c r="N40" s="1"/>
      <c r="O40" s="1"/>
      <c r="P40" s="10"/>
    </row>
    <row r="41" spans="2:16" x14ac:dyDescent="0.25">
      <c r="B41" s="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0"/>
    </row>
    <row r="42" spans="2:16" ht="15.75" thickBot="1" x14ac:dyDescent="0.3">
      <c r="B42" s="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0"/>
    </row>
    <row r="43" spans="2:16" ht="16.5" thickBot="1" x14ac:dyDescent="0.3">
      <c r="B43" s="9"/>
      <c r="C43" s="76" t="s">
        <v>76</v>
      </c>
      <c r="D43" s="77"/>
      <c r="E43" s="25" t="s">
        <v>75</v>
      </c>
      <c r="F43" s="74"/>
      <c r="G43" s="75"/>
      <c r="H43" s="1"/>
      <c r="I43" s="76" t="s">
        <v>77</v>
      </c>
      <c r="J43" s="78"/>
      <c r="K43" s="78"/>
      <c r="L43" s="78"/>
      <c r="M43" s="69" t="s">
        <v>22</v>
      </c>
      <c r="N43" s="70"/>
      <c r="O43" s="20"/>
      <c r="P43" s="10"/>
    </row>
    <row r="44" spans="2:16" x14ac:dyDescent="0.25">
      <c r="B44" s="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0"/>
    </row>
    <row r="45" spans="2:16" x14ac:dyDescent="0.25">
      <c r="B45" s="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0"/>
    </row>
    <row r="46" spans="2:16" x14ac:dyDescent="0.25">
      <c r="B46" s="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0"/>
    </row>
    <row r="47" spans="2:16" x14ac:dyDescent="0.25">
      <c r="B47" s="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0"/>
    </row>
    <row r="48" spans="2:16" x14ac:dyDescent="0.25">
      <c r="B48" s="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0"/>
    </row>
    <row r="49" spans="2:16" x14ac:dyDescent="0.25">
      <c r="B49" s="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0"/>
    </row>
    <row r="50" spans="2:16" x14ac:dyDescent="0.25">
      <c r="B50" s="9"/>
      <c r="C50" s="17"/>
      <c r="D50" s="17"/>
      <c r="E50" s="17"/>
      <c r="F50" s="1"/>
      <c r="G50" s="1"/>
      <c r="H50" s="1"/>
      <c r="I50" s="1"/>
      <c r="J50" s="1"/>
      <c r="K50" s="1"/>
      <c r="L50" s="1"/>
      <c r="M50" s="1"/>
      <c r="N50" s="1"/>
      <c r="O50" s="1"/>
      <c r="P50" s="10"/>
    </row>
    <row r="51" spans="2:16" x14ac:dyDescent="0.25">
      <c r="B51" s="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0"/>
    </row>
    <row r="52" spans="2:16" x14ac:dyDescent="0.25"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3"/>
    </row>
  </sheetData>
  <mergeCells count="98">
    <mergeCell ref="M43:N43"/>
    <mergeCell ref="C40:G40"/>
    <mergeCell ref="H40:J40"/>
    <mergeCell ref="E43:G43"/>
    <mergeCell ref="C43:D43"/>
    <mergeCell ref="I43:L43"/>
    <mergeCell ref="C35:I35"/>
    <mergeCell ref="C36:I36"/>
    <mergeCell ref="C37:I37"/>
    <mergeCell ref="C38:I38"/>
    <mergeCell ref="J34:O34"/>
    <mergeCell ref="J35:O35"/>
    <mergeCell ref="J36:O36"/>
    <mergeCell ref="J37:O37"/>
    <mergeCell ref="J38:O38"/>
    <mergeCell ref="G32:O32"/>
    <mergeCell ref="C32:E32"/>
    <mergeCell ref="C33:O33"/>
    <mergeCell ref="C34:I34"/>
    <mergeCell ref="M8:O8"/>
    <mergeCell ref="C8:E8"/>
    <mergeCell ref="C11:O11"/>
    <mergeCell ref="C12:O12"/>
    <mergeCell ref="C14:D14"/>
    <mergeCell ref="C15:D15"/>
    <mergeCell ref="K14:L14"/>
    <mergeCell ref="M14:O14"/>
    <mergeCell ref="K15:L15"/>
    <mergeCell ref="M15:O15"/>
    <mergeCell ref="C16:D16"/>
    <mergeCell ref="C17:D17"/>
    <mergeCell ref="C3:O3"/>
    <mergeCell ref="D4:N4"/>
    <mergeCell ref="E5:M5"/>
    <mergeCell ref="D6:N6"/>
    <mergeCell ref="C10:O10"/>
    <mergeCell ref="C18:D18"/>
    <mergeCell ref="E14:G14"/>
    <mergeCell ref="E15:G15"/>
    <mergeCell ref="E16:G16"/>
    <mergeCell ref="E17:G17"/>
    <mergeCell ref="E18:G18"/>
    <mergeCell ref="C20:O20"/>
    <mergeCell ref="C21:O21"/>
    <mergeCell ref="C22:D22"/>
    <mergeCell ref="C23:D23"/>
    <mergeCell ref="C24:D24"/>
    <mergeCell ref="G22:H22"/>
    <mergeCell ref="G23:H23"/>
    <mergeCell ref="G24:H24"/>
    <mergeCell ref="K22:L22"/>
    <mergeCell ref="K23:L23"/>
    <mergeCell ref="K24:L24"/>
    <mergeCell ref="C30:D30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C25:D25"/>
    <mergeCell ref="C26:D26"/>
    <mergeCell ref="C27:D27"/>
    <mergeCell ref="C28:D28"/>
    <mergeCell ref="C29:D29"/>
    <mergeCell ref="G30:H3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G25:H25"/>
    <mergeCell ref="G26:H26"/>
    <mergeCell ref="G27:H27"/>
    <mergeCell ref="G28:H28"/>
    <mergeCell ref="G29:H29"/>
    <mergeCell ref="K30:L30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K25:L25"/>
    <mergeCell ref="K26:L26"/>
    <mergeCell ref="K27:L27"/>
    <mergeCell ref="K28:L28"/>
    <mergeCell ref="K29:L29"/>
  </mergeCells>
  <dataValidations count="1">
    <dataValidation type="list" allowBlank="1" showInputMessage="1" showErrorMessage="1" sqref="F32" xr:uid="{25D160CD-41E1-400F-8FC6-9677D68E1D32}">
      <formula1>"1,2,3,4,5"</formula1>
    </dataValidation>
  </dataValidations>
  <hyperlinks>
    <hyperlink ref="D6" r:id="rId1" xr:uid="{02A21183-A0C8-4D99-B719-FFA62D55BA23}"/>
  </hyperlinks>
  <pageMargins left="0.25" right="0.25" top="0.75" bottom="0.75" header="0.3" footer="0.3"/>
  <pageSetup paperSize="9" scale="73" fitToHeight="0" orientation="portrait" horizontalDpi="0" verticalDpi="0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D2EE81-D10F-487E-9A73-780FDD7EF208}">
          <x14:formula1>
            <xm:f>DataBase!$A$2:$A$24</xm:f>
          </x14:formula1>
          <xm:sqref>E14:G14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opLeftCell="A4" workbookViewId="0">
      <selection activeCell="B16" sqref="B16"/>
    </sheetView>
  </sheetViews>
  <sheetFormatPr defaultRowHeight="15" x14ac:dyDescent="0.25"/>
  <cols>
    <col min="1" max="1" width="5.28515625" bestFit="1" customWidth="1"/>
    <col min="2" max="2" width="17.7109375" bestFit="1" customWidth="1"/>
    <col min="3" max="3" width="24.85546875" bestFit="1" customWidth="1"/>
    <col min="4" max="4" width="21.140625" bestFit="1" customWidth="1"/>
    <col min="5" max="5" width="25.5703125" bestFit="1" customWidth="1"/>
    <col min="6" max="6" width="6.28515625" bestFit="1" customWidth="1"/>
    <col min="7" max="7" width="13.42578125" bestFit="1" customWidth="1"/>
    <col min="8" max="8" width="12.5703125" bestFit="1" customWidth="1"/>
    <col min="9" max="9" width="8.28515625" bestFit="1" customWidth="1"/>
    <col min="10" max="10" width="8.42578125" bestFit="1" customWidth="1"/>
    <col min="11" max="11" width="7.28515625" bestFit="1" customWidth="1"/>
    <col min="12" max="12" width="8.28515625" bestFit="1" customWidth="1"/>
    <col min="13" max="13" width="4.42578125" bestFit="1" customWidth="1"/>
    <col min="14" max="14" width="9.28515625" bestFit="1" customWidth="1"/>
    <col min="15" max="15" width="10.28515625" bestFit="1" customWidth="1"/>
  </cols>
  <sheetData>
    <row r="1" spans="1:15" x14ac:dyDescent="0.25">
      <c r="A1" t="s">
        <v>46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0</v>
      </c>
      <c r="N1" t="s">
        <v>53</v>
      </c>
      <c r="O1" t="s">
        <v>54</v>
      </c>
    </row>
    <row r="2" spans="1:15" x14ac:dyDescent="0.25">
      <c r="A2">
        <v>1</v>
      </c>
      <c r="B2" t="s">
        <v>78</v>
      </c>
      <c r="C2" t="s">
        <v>79</v>
      </c>
      <c r="D2" t="s">
        <v>80</v>
      </c>
      <c r="E2" t="s">
        <v>94</v>
      </c>
      <c r="F2">
        <v>5</v>
      </c>
      <c r="G2" s="21" t="s">
        <v>81</v>
      </c>
      <c r="H2" s="19">
        <v>0.9</v>
      </c>
      <c r="I2">
        <v>97</v>
      </c>
      <c r="J2">
        <v>98</v>
      </c>
      <c r="K2">
        <v>98</v>
      </c>
      <c r="L2">
        <v>85</v>
      </c>
      <c r="M2">
        <v>96</v>
      </c>
      <c r="N2">
        <v>88</v>
      </c>
      <c r="O2">
        <v>45</v>
      </c>
    </row>
    <row r="3" spans="1:15" x14ac:dyDescent="0.25">
      <c r="A3">
        <v>2</v>
      </c>
      <c r="B3" t="s">
        <v>82</v>
      </c>
      <c r="C3" t="s">
        <v>84</v>
      </c>
      <c r="D3" t="s">
        <v>83</v>
      </c>
      <c r="E3" t="s">
        <v>94</v>
      </c>
      <c r="F3">
        <v>5</v>
      </c>
      <c r="G3" s="21" t="s">
        <v>85</v>
      </c>
      <c r="H3" s="19">
        <v>0.9</v>
      </c>
      <c r="I3">
        <v>92</v>
      </c>
      <c r="J3">
        <v>98</v>
      </c>
      <c r="K3">
        <v>99</v>
      </c>
      <c r="L3">
        <v>98</v>
      </c>
      <c r="M3">
        <v>98</v>
      </c>
      <c r="N3">
        <v>96</v>
      </c>
      <c r="O3">
        <v>48</v>
      </c>
    </row>
    <row r="4" spans="1:15" x14ac:dyDescent="0.25">
      <c r="A4">
        <v>3</v>
      </c>
      <c r="B4" t="s">
        <v>1</v>
      </c>
      <c r="C4" t="s">
        <v>123</v>
      </c>
      <c r="D4" t="s">
        <v>124</v>
      </c>
      <c r="E4" t="s">
        <v>125</v>
      </c>
      <c r="F4">
        <v>5</v>
      </c>
      <c r="G4" s="21" t="s">
        <v>126</v>
      </c>
      <c r="H4" s="19">
        <v>0.9</v>
      </c>
      <c r="I4">
        <v>92</v>
      </c>
      <c r="J4">
        <v>97</v>
      </c>
      <c r="K4">
        <v>98</v>
      </c>
      <c r="L4">
        <v>85</v>
      </c>
      <c r="M4">
        <v>94</v>
      </c>
      <c r="N4">
        <v>95</v>
      </c>
      <c r="O4">
        <v>46</v>
      </c>
    </row>
    <row r="5" spans="1:15" x14ac:dyDescent="0.25">
      <c r="A5">
        <v>4</v>
      </c>
      <c r="B5" t="s">
        <v>86</v>
      </c>
      <c r="C5" t="s">
        <v>87</v>
      </c>
      <c r="D5" t="s">
        <v>88</v>
      </c>
      <c r="E5" t="s">
        <v>92</v>
      </c>
      <c r="F5">
        <v>5</v>
      </c>
      <c r="G5" s="21"/>
      <c r="H5" s="19">
        <v>0.9</v>
      </c>
      <c r="I5">
        <v>98</v>
      </c>
      <c r="J5">
        <v>96</v>
      </c>
      <c r="K5">
        <v>98</v>
      </c>
      <c r="L5">
        <v>98</v>
      </c>
      <c r="M5">
        <v>98</v>
      </c>
      <c r="N5">
        <v>95</v>
      </c>
      <c r="O5">
        <v>46</v>
      </c>
    </row>
    <row r="6" spans="1:15" x14ac:dyDescent="0.25">
      <c r="A6">
        <v>5</v>
      </c>
      <c r="B6" t="s">
        <v>110</v>
      </c>
      <c r="C6" t="s">
        <v>111</v>
      </c>
      <c r="D6" t="s">
        <v>112</v>
      </c>
      <c r="E6" t="s">
        <v>94</v>
      </c>
      <c r="F6">
        <v>5</v>
      </c>
      <c r="G6" s="21" t="s">
        <v>113</v>
      </c>
      <c r="H6" s="19">
        <v>0.9</v>
      </c>
      <c r="I6">
        <v>98</v>
      </c>
      <c r="J6">
        <v>99</v>
      </c>
      <c r="K6">
        <v>100</v>
      </c>
      <c r="L6">
        <v>98</v>
      </c>
      <c r="M6">
        <v>99</v>
      </c>
      <c r="N6">
        <v>97</v>
      </c>
      <c r="O6">
        <v>48</v>
      </c>
    </row>
    <row r="7" spans="1:15" x14ac:dyDescent="0.25">
      <c r="A7">
        <v>6</v>
      </c>
      <c r="B7" t="s">
        <v>119</v>
      </c>
      <c r="C7" t="s">
        <v>120</v>
      </c>
      <c r="D7" t="s">
        <v>121</v>
      </c>
      <c r="E7" t="s">
        <v>108</v>
      </c>
      <c r="F7">
        <v>5</v>
      </c>
      <c r="G7" s="21" t="s">
        <v>122</v>
      </c>
      <c r="H7" s="19">
        <v>0.9</v>
      </c>
      <c r="I7">
        <v>88</v>
      </c>
      <c r="J7">
        <v>98</v>
      </c>
      <c r="K7">
        <v>99</v>
      </c>
      <c r="L7">
        <v>97</v>
      </c>
      <c r="M7">
        <v>98</v>
      </c>
      <c r="N7">
        <v>88</v>
      </c>
      <c r="O7">
        <v>45</v>
      </c>
    </row>
    <row r="8" spans="1:15" x14ac:dyDescent="0.25">
      <c r="A8">
        <v>7</v>
      </c>
      <c r="B8" t="s">
        <v>114</v>
      </c>
      <c r="C8" t="s">
        <v>115</v>
      </c>
      <c r="D8" t="s">
        <v>116</v>
      </c>
      <c r="E8" t="s">
        <v>117</v>
      </c>
      <c r="F8">
        <v>5</v>
      </c>
      <c r="G8" s="24" t="s">
        <v>118</v>
      </c>
      <c r="H8" s="19">
        <v>0.9</v>
      </c>
      <c r="I8">
        <v>96</v>
      </c>
      <c r="J8">
        <v>98</v>
      </c>
      <c r="K8">
        <v>99</v>
      </c>
      <c r="L8">
        <v>98</v>
      </c>
      <c r="M8">
        <v>87</v>
      </c>
      <c r="N8">
        <v>88</v>
      </c>
      <c r="O8">
        <v>45</v>
      </c>
    </row>
    <row r="9" spans="1:15" x14ac:dyDescent="0.25">
      <c r="A9">
        <v>8</v>
      </c>
      <c r="B9" t="s">
        <v>2</v>
      </c>
      <c r="C9" t="s">
        <v>101</v>
      </c>
      <c r="D9" t="s">
        <v>102</v>
      </c>
      <c r="E9" t="s">
        <v>103</v>
      </c>
      <c r="F9">
        <v>5</v>
      </c>
      <c r="G9" s="21" t="s">
        <v>104</v>
      </c>
      <c r="H9" s="19">
        <v>0.9</v>
      </c>
      <c r="I9">
        <v>87</v>
      </c>
      <c r="J9">
        <v>90</v>
      </c>
      <c r="K9">
        <v>88</v>
      </c>
      <c r="L9">
        <v>84</v>
      </c>
      <c r="M9">
        <v>87</v>
      </c>
      <c r="N9">
        <v>85</v>
      </c>
      <c r="O9">
        <v>45</v>
      </c>
    </row>
    <row r="10" spans="1:15" x14ac:dyDescent="0.25">
      <c r="A10">
        <v>9</v>
      </c>
      <c r="B10" s="23" t="s">
        <v>96</v>
      </c>
      <c r="C10" s="23" t="s">
        <v>97</v>
      </c>
      <c r="D10" t="s">
        <v>98</v>
      </c>
      <c r="E10" t="s">
        <v>99</v>
      </c>
      <c r="F10">
        <v>5</v>
      </c>
      <c r="G10" s="21" t="s">
        <v>100</v>
      </c>
      <c r="H10" s="19">
        <v>0.9</v>
      </c>
      <c r="I10">
        <v>90</v>
      </c>
      <c r="J10">
        <v>98</v>
      </c>
      <c r="K10">
        <v>95</v>
      </c>
      <c r="L10">
        <v>92</v>
      </c>
      <c r="M10">
        <v>90</v>
      </c>
      <c r="N10">
        <v>85</v>
      </c>
      <c r="O10">
        <v>45</v>
      </c>
    </row>
    <row r="11" spans="1:15" x14ac:dyDescent="0.25">
      <c r="A11">
        <v>10</v>
      </c>
      <c r="B11" t="s">
        <v>89</v>
      </c>
      <c r="C11" t="s">
        <v>90</v>
      </c>
      <c r="D11" t="s">
        <v>91</v>
      </c>
      <c r="E11" t="s">
        <v>93</v>
      </c>
      <c r="F11">
        <v>5</v>
      </c>
      <c r="G11" s="21" t="s">
        <v>95</v>
      </c>
      <c r="H11" s="19">
        <v>0.9</v>
      </c>
      <c r="I11">
        <v>87</v>
      </c>
      <c r="J11">
        <v>98</v>
      </c>
      <c r="K11">
        <v>95</v>
      </c>
      <c r="L11">
        <v>92</v>
      </c>
      <c r="M11">
        <v>98</v>
      </c>
      <c r="N11">
        <v>85</v>
      </c>
      <c r="O11">
        <v>45</v>
      </c>
    </row>
    <row r="12" spans="1:15" x14ac:dyDescent="0.25">
      <c r="A12">
        <v>11</v>
      </c>
      <c r="B12" t="s">
        <v>134</v>
      </c>
      <c r="C12" t="s">
        <v>135</v>
      </c>
      <c r="D12" t="s">
        <v>136</v>
      </c>
      <c r="E12" t="s">
        <v>92</v>
      </c>
      <c r="F12">
        <v>5</v>
      </c>
      <c r="G12" s="21"/>
      <c r="H12" s="19">
        <v>0.9</v>
      </c>
      <c r="I12">
        <v>80</v>
      </c>
      <c r="J12">
        <v>85</v>
      </c>
      <c r="K12">
        <v>80</v>
      </c>
      <c r="L12">
        <v>84</v>
      </c>
      <c r="M12">
        <v>80</v>
      </c>
      <c r="N12">
        <v>82</v>
      </c>
      <c r="O12">
        <v>45</v>
      </c>
    </row>
    <row r="13" spans="1:15" x14ac:dyDescent="0.25">
      <c r="A13">
        <v>12</v>
      </c>
      <c r="B13" t="s">
        <v>105</v>
      </c>
      <c r="C13" t="s">
        <v>106</v>
      </c>
      <c r="D13" t="s">
        <v>107</v>
      </c>
      <c r="E13" t="s">
        <v>108</v>
      </c>
      <c r="F13">
        <v>5</v>
      </c>
      <c r="G13" s="21" t="s">
        <v>109</v>
      </c>
      <c r="H13" s="19">
        <v>0.9</v>
      </c>
      <c r="I13">
        <v>82</v>
      </c>
      <c r="J13">
        <v>98</v>
      </c>
      <c r="K13">
        <v>85</v>
      </c>
      <c r="L13">
        <v>80</v>
      </c>
      <c r="M13">
        <v>90</v>
      </c>
      <c r="N13">
        <v>87</v>
      </c>
      <c r="O13">
        <v>45</v>
      </c>
    </row>
    <row r="14" spans="1:15" x14ac:dyDescent="0.25">
      <c r="A14">
        <v>13</v>
      </c>
      <c r="B14" t="s">
        <v>127</v>
      </c>
      <c r="C14" t="s">
        <v>128</v>
      </c>
      <c r="D14" t="s">
        <v>129</v>
      </c>
      <c r="E14" t="s">
        <v>92</v>
      </c>
      <c r="F14">
        <v>5</v>
      </c>
      <c r="G14" s="21"/>
      <c r="H14" s="19">
        <v>0.9</v>
      </c>
      <c r="I14">
        <v>85</v>
      </c>
      <c r="J14">
        <v>85</v>
      </c>
      <c r="K14">
        <v>88</v>
      </c>
      <c r="L14">
        <v>83</v>
      </c>
      <c r="M14">
        <v>95</v>
      </c>
      <c r="N14">
        <v>85</v>
      </c>
      <c r="O14">
        <v>45</v>
      </c>
    </row>
    <row r="15" spans="1:15" x14ac:dyDescent="0.25">
      <c r="A15">
        <v>14</v>
      </c>
      <c r="B15" t="s">
        <v>143</v>
      </c>
      <c r="C15" t="s">
        <v>87</v>
      </c>
      <c r="D15" t="s">
        <v>88</v>
      </c>
      <c r="E15" t="s">
        <v>92</v>
      </c>
      <c r="F15">
        <v>5</v>
      </c>
      <c r="G15" s="21"/>
      <c r="H15" s="19">
        <v>0.9</v>
      </c>
      <c r="I15">
        <v>80</v>
      </c>
      <c r="J15">
        <v>80</v>
      </c>
      <c r="K15">
        <v>75</v>
      </c>
      <c r="L15">
        <v>80</v>
      </c>
      <c r="M15">
        <v>80</v>
      </c>
      <c r="N15">
        <v>81</v>
      </c>
      <c r="O15">
        <v>40</v>
      </c>
    </row>
    <row r="16" spans="1:15" x14ac:dyDescent="0.25">
      <c r="A16">
        <v>15</v>
      </c>
      <c r="B16" t="s">
        <v>3</v>
      </c>
      <c r="C16" t="s">
        <v>141</v>
      </c>
      <c r="D16" t="s">
        <v>142</v>
      </c>
      <c r="E16" t="s">
        <v>140</v>
      </c>
      <c r="F16">
        <v>5</v>
      </c>
      <c r="G16" s="21"/>
      <c r="H16" s="19">
        <v>0.9</v>
      </c>
      <c r="I16">
        <v>80</v>
      </c>
      <c r="J16">
        <v>82</v>
      </c>
      <c r="K16">
        <v>83</v>
      </c>
      <c r="L16">
        <v>80</v>
      </c>
      <c r="M16">
        <v>80</v>
      </c>
      <c r="N16">
        <v>82</v>
      </c>
      <c r="O16">
        <v>40</v>
      </c>
    </row>
    <row r="17" spans="1:15" x14ac:dyDescent="0.25">
      <c r="A17">
        <v>16</v>
      </c>
      <c r="B17" t="s">
        <v>4</v>
      </c>
      <c r="F17">
        <v>5</v>
      </c>
      <c r="G17" s="21"/>
      <c r="H17" s="19">
        <v>0.9</v>
      </c>
      <c r="I17">
        <v>80</v>
      </c>
      <c r="J17">
        <v>90</v>
      </c>
      <c r="K17">
        <v>85</v>
      </c>
      <c r="L17">
        <v>82</v>
      </c>
      <c r="M17">
        <v>94</v>
      </c>
      <c r="N17">
        <v>84</v>
      </c>
      <c r="O17">
        <v>45</v>
      </c>
    </row>
    <row r="18" spans="1:15" x14ac:dyDescent="0.25">
      <c r="A18">
        <v>17</v>
      </c>
      <c r="B18" t="s">
        <v>5</v>
      </c>
      <c r="F18">
        <v>5</v>
      </c>
      <c r="G18" s="21"/>
      <c r="H18" s="19">
        <v>0.9</v>
      </c>
      <c r="I18">
        <v>80</v>
      </c>
      <c r="J18">
        <v>80</v>
      </c>
      <c r="K18">
        <v>82</v>
      </c>
      <c r="L18">
        <v>80</v>
      </c>
      <c r="M18">
        <v>83</v>
      </c>
      <c r="N18">
        <v>80</v>
      </c>
      <c r="O18">
        <v>40</v>
      </c>
    </row>
    <row r="19" spans="1:15" x14ac:dyDescent="0.25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>
        <v>5</v>
      </c>
      <c r="G19" s="21"/>
      <c r="H19" s="19">
        <v>0.9</v>
      </c>
      <c r="I19">
        <v>80</v>
      </c>
      <c r="J19">
        <v>80</v>
      </c>
      <c r="K19">
        <v>85</v>
      </c>
      <c r="L19">
        <v>80</v>
      </c>
      <c r="M19">
        <v>82</v>
      </c>
      <c r="N19">
        <v>80</v>
      </c>
      <c r="O19">
        <v>40</v>
      </c>
    </row>
    <row r="20" spans="1:15" x14ac:dyDescent="0.25">
      <c r="A20">
        <v>19</v>
      </c>
      <c r="B20" t="s">
        <v>133</v>
      </c>
      <c r="C20" t="s">
        <v>131</v>
      </c>
      <c r="D20" t="s">
        <v>132</v>
      </c>
      <c r="E20" t="s">
        <v>92</v>
      </c>
      <c r="F20">
        <v>5</v>
      </c>
      <c r="G20" s="21"/>
      <c r="H20" s="19">
        <v>0.9</v>
      </c>
      <c r="I20">
        <v>85</v>
      </c>
      <c r="J20">
        <v>80</v>
      </c>
      <c r="K20">
        <v>75</v>
      </c>
      <c r="L20">
        <v>64</v>
      </c>
      <c r="M20">
        <v>76</v>
      </c>
      <c r="N20">
        <v>80</v>
      </c>
      <c r="O20">
        <v>40</v>
      </c>
    </row>
    <row r="21" spans="1:15" x14ac:dyDescent="0.25">
      <c r="A21">
        <v>20</v>
      </c>
      <c r="B21" t="s">
        <v>130</v>
      </c>
      <c r="C21" t="s">
        <v>131</v>
      </c>
      <c r="D21" t="s">
        <v>132</v>
      </c>
      <c r="E21" t="s">
        <v>92</v>
      </c>
      <c r="F21">
        <v>5</v>
      </c>
      <c r="G21" s="21"/>
      <c r="H21" s="19">
        <v>0.9</v>
      </c>
      <c r="I21">
        <v>80</v>
      </c>
      <c r="J21">
        <v>75</v>
      </c>
      <c r="K21">
        <v>65</v>
      </c>
      <c r="L21">
        <v>65</v>
      </c>
      <c r="M21">
        <v>80</v>
      </c>
      <c r="N21">
        <v>80</v>
      </c>
      <c r="O21">
        <v>40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0566-86F0-4F03-8BBF-95429FC821FB}">
  <dimension ref="B2:L18"/>
  <sheetViews>
    <sheetView topLeftCell="C1" workbookViewId="0">
      <selection activeCell="E5" sqref="E5"/>
    </sheetView>
  </sheetViews>
  <sheetFormatPr defaultRowHeight="15" x14ac:dyDescent="0.25"/>
  <cols>
    <col min="1" max="1" width="9.140625" style="3"/>
    <col min="2" max="2" width="12.140625" style="3" bestFit="1" customWidth="1"/>
    <col min="3" max="3" width="9.140625" style="3"/>
    <col min="4" max="4" width="15.140625" style="3" bestFit="1" customWidth="1"/>
    <col min="5" max="5" width="13.7109375" style="3" bestFit="1" customWidth="1"/>
    <col min="6" max="7" width="9.140625" style="3"/>
    <col min="8" max="8" width="13.7109375" style="3" bestFit="1" customWidth="1"/>
    <col min="9" max="10" width="9.140625" style="3"/>
    <col min="11" max="11" width="13.7109375" style="3" bestFit="1" customWidth="1"/>
    <col min="12" max="16384" width="9.140625" style="3"/>
  </cols>
  <sheetData>
    <row r="2" spans="2:12" x14ac:dyDescent="0.25">
      <c r="C2" s="79" t="s">
        <v>6</v>
      </c>
      <c r="D2" s="79"/>
      <c r="E2" s="4"/>
    </row>
    <row r="3" spans="2:12" x14ac:dyDescent="0.25">
      <c r="C3" s="5">
        <v>1</v>
      </c>
      <c r="D3" s="5" t="s">
        <v>7</v>
      </c>
      <c r="E3" s="4"/>
    </row>
    <row r="4" spans="2:12" x14ac:dyDescent="0.25">
      <c r="C4" s="5">
        <v>2</v>
      </c>
      <c r="D4" s="5" t="s">
        <v>8</v>
      </c>
      <c r="E4" s="4"/>
    </row>
    <row r="5" spans="2:12" x14ac:dyDescent="0.25">
      <c r="C5" s="5">
        <v>3</v>
      </c>
      <c r="D5" s="5" t="s">
        <v>9</v>
      </c>
      <c r="E5" s="4"/>
    </row>
    <row r="6" spans="2:12" x14ac:dyDescent="0.25">
      <c r="C6" s="5">
        <v>4</v>
      </c>
      <c r="D6" s="5" t="s">
        <v>10</v>
      </c>
      <c r="E6" s="4"/>
    </row>
    <row r="7" spans="2:12" x14ac:dyDescent="0.25">
      <c r="C7" s="5">
        <v>5</v>
      </c>
      <c r="D7" s="5" t="s">
        <v>11</v>
      </c>
      <c r="E7" s="4"/>
    </row>
    <row r="10" spans="2:12" x14ac:dyDescent="0.25">
      <c r="B10" s="5" t="s">
        <v>12</v>
      </c>
      <c r="C10" s="5" t="s">
        <v>13</v>
      </c>
      <c r="E10" s="5" t="s">
        <v>30</v>
      </c>
      <c r="F10" s="5" t="s">
        <v>13</v>
      </c>
      <c r="H10" s="5" t="s">
        <v>12</v>
      </c>
      <c r="I10" s="5" t="s">
        <v>13</v>
      </c>
      <c r="K10" s="5" t="s">
        <v>30</v>
      </c>
      <c r="L10" s="5" t="s">
        <v>13</v>
      </c>
    </row>
    <row r="11" spans="2:12" x14ac:dyDescent="0.25">
      <c r="B11" s="5" t="s">
        <v>14</v>
      </c>
      <c r="C11" s="5" t="s">
        <v>22</v>
      </c>
      <c r="E11" s="5">
        <v>0</v>
      </c>
      <c r="F11" s="5" t="s">
        <v>29</v>
      </c>
      <c r="H11" s="5" t="s">
        <v>62</v>
      </c>
      <c r="I11" s="5" t="s">
        <v>22</v>
      </c>
      <c r="K11" s="5">
        <v>0</v>
      </c>
      <c r="L11" s="5" t="s">
        <v>29</v>
      </c>
    </row>
    <row r="12" spans="2:12" x14ac:dyDescent="0.25">
      <c r="B12" s="5" t="s">
        <v>15</v>
      </c>
      <c r="C12" s="5" t="s">
        <v>23</v>
      </c>
      <c r="E12" s="5">
        <v>33</v>
      </c>
      <c r="F12" s="5" t="s">
        <v>28</v>
      </c>
      <c r="H12" s="5" t="s">
        <v>63</v>
      </c>
      <c r="I12" s="5" t="s">
        <v>23</v>
      </c>
      <c r="K12" s="5">
        <v>17</v>
      </c>
      <c r="L12" s="5" t="s">
        <v>28</v>
      </c>
    </row>
    <row r="13" spans="2:12" x14ac:dyDescent="0.25">
      <c r="B13" s="5" t="s">
        <v>16</v>
      </c>
      <c r="C13" s="5" t="s">
        <v>24</v>
      </c>
      <c r="E13" s="5">
        <v>41</v>
      </c>
      <c r="F13" s="5" t="s">
        <v>27</v>
      </c>
      <c r="H13" s="5" t="s">
        <v>64</v>
      </c>
      <c r="I13" s="5" t="s">
        <v>24</v>
      </c>
      <c r="K13" s="5">
        <v>21</v>
      </c>
      <c r="L13" s="5" t="s">
        <v>27</v>
      </c>
    </row>
    <row r="14" spans="2:12" x14ac:dyDescent="0.25">
      <c r="B14" s="5" t="s">
        <v>17</v>
      </c>
      <c r="C14" s="5" t="s">
        <v>25</v>
      </c>
      <c r="E14" s="5">
        <v>51</v>
      </c>
      <c r="F14" s="5" t="s">
        <v>26</v>
      </c>
      <c r="H14" s="5" t="s">
        <v>65</v>
      </c>
      <c r="I14" s="5" t="s">
        <v>25</v>
      </c>
      <c r="K14" s="5">
        <v>26</v>
      </c>
      <c r="L14" s="5" t="s">
        <v>26</v>
      </c>
    </row>
    <row r="15" spans="2:12" x14ac:dyDescent="0.25">
      <c r="B15" s="5" t="s">
        <v>18</v>
      </c>
      <c r="C15" s="5" t="s">
        <v>26</v>
      </c>
      <c r="E15" s="5">
        <v>61</v>
      </c>
      <c r="F15" s="5" t="s">
        <v>25</v>
      </c>
      <c r="H15" s="5" t="s">
        <v>66</v>
      </c>
      <c r="I15" s="5" t="s">
        <v>26</v>
      </c>
      <c r="K15" s="5">
        <v>31</v>
      </c>
      <c r="L15" s="5" t="s">
        <v>25</v>
      </c>
    </row>
    <row r="16" spans="2:12" x14ac:dyDescent="0.25">
      <c r="B16" s="5" t="s">
        <v>19</v>
      </c>
      <c r="C16" s="5" t="s">
        <v>27</v>
      </c>
      <c r="E16" s="5">
        <v>71</v>
      </c>
      <c r="F16" s="5" t="s">
        <v>24</v>
      </c>
      <c r="H16" s="5" t="s">
        <v>67</v>
      </c>
      <c r="I16" s="5" t="s">
        <v>27</v>
      </c>
      <c r="K16" s="5">
        <v>36</v>
      </c>
      <c r="L16" s="5" t="s">
        <v>24</v>
      </c>
    </row>
    <row r="17" spans="2:12" x14ac:dyDescent="0.25">
      <c r="B17" s="5" t="s">
        <v>20</v>
      </c>
      <c r="C17" s="5" t="s">
        <v>28</v>
      </c>
      <c r="E17" s="5">
        <v>81</v>
      </c>
      <c r="F17" s="5" t="s">
        <v>23</v>
      </c>
      <c r="H17" s="5" t="s">
        <v>68</v>
      </c>
      <c r="I17" s="5" t="s">
        <v>28</v>
      </c>
      <c r="K17" s="5">
        <v>41</v>
      </c>
      <c r="L17" s="5" t="s">
        <v>23</v>
      </c>
    </row>
    <row r="18" spans="2:12" x14ac:dyDescent="0.25">
      <c r="B18" s="5" t="s">
        <v>21</v>
      </c>
      <c r="C18" s="5" t="s">
        <v>29</v>
      </c>
      <c r="E18" s="5">
        <v>91</v>
      </c>
      <c r="F18" s="5" t="s">
        <v>22</v>
      </c>
      <c r="H18" s="5" t="s">
        <v>69</v>
      </c>
      <c r="I18" s="5" t="s">
        <v>29</v>
      </c>
      <c r="K18" s="5">
        <v>45</v>
      </c>
      <c r="L18" s="5" t="s">
        <v>22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ReportCard</vt:lpstr>
      <vt:lpstr>DataBase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Atosh Mohonto</cp:lastModifiedBy>
  <cp:lastPrinted>2026-01-03T02:30:40Z</cp:lastPrinted>
  <dcterms:created xsi:type="dcterms:W3CDTF">2015-06-05T18:17:20Z</dcterms:created>
  <dcterms:modified xsi:type="dcterms:W3CDTF">2026-01-03T02:31:39Z</dcterms:modified>
</cp:coreProperties>
</file>